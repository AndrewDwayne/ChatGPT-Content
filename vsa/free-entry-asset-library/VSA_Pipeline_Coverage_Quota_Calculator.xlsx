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34f69a79984e3d" /></Relationships>
</file>

<file path=xl/workbook.xml><?xml version="1.0" encoding="utf-8"?>
<x:workbook xmlns:x="http://schemas.openxmlformats.org/spreadsheetml/2006/main">
  <x:sheets>
    <x:sheet xmlns:r="http://schemas.openxmlformats.org/officeDocument/2006/relationships" name="Start Here" sheetId="1" r:id="R14078b55cbff4ccb"/>
    <x:sheet xmlns:r="http://schemas.openxmlformats.org/officeDocument/2006/relationships" name="Quota &amp; Coverage" sheetId="2" r:id="R09dc26e21d7f4d55"/>
    <x:sheet xmlns:r="http://schemas.openxmlformats.org/officeDocument/2006/relationships" name="Cost of Inaction" sheetId="3" r:id="R96c4ef94219c481b"/>
    <x:sheet xmlns:r="http://schemas.openxmlformats.org/officeDocument/2006/relationships" name="Activity Model" sheetId="4" r:id="R7008315d44d447fd"/>
    <x:sheet xmlns:r="http://schemas.openxmlformats.org/officeDocument/2006/relationships" name="Weekly Tracker" sheetId="5" r:id="Rd706ae80b059415b"/>
    <x:sheet xmlns:r="http://schemas.openxmlformats.org/officeDocument/2006/relationships" name="Scenario Lab" sheetId="6" r:id="Rcc673e3fdfdd4b13"/>
    <x:sheet xmlns:r="http://schemas.openxmlformats.org/officeDocument/2006/relationships" name="Readiness Check" sheetId="7" r:id="R4f8807fd564a47f9"/>
    <x:sheet xmlns:r="http://schemas.openxmlformats.org/officeDocument/2006/relationships" name="Sources &amp; Notes" sheetId="8" r:id="Ra3989611c52047cb"/>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
    <x:numFmt numFmtId="201" formatCode="0.0%"/>
    <x:numFmt numFmtId="202" formatCode="0.0x"/>
    <x:numFmt numFmtId="203" formatCode="#,##0"/>
    <x:numFmt numFmtId="204" formatCode="0.0"/>
    <x:numFmt numFmtId="205" formatCode="0%"/>
    <x:numFmt numFmtId="206" formatCode="0.00"/>
    <x:numFmt numFmtId="207" formatCode="#,##0.0"/>
    <x:numFmt numFmtId="208" formatCode="yyyy-mm-dd"/>
    <x:numFmt numFmtId="209" formatCode="$0.00"/>
  </x:numFmts>
  <x:fonts count="7">
    <x:font>
      <x:sz val="11"/>
      <x:name val="Carlito"/>
    </x:font>
    <x:font>
      <x:b/>
      <x:sz val="20"/>
      <x:color rgb="FFFFFFFF"/>
      <x:name val="Carlito"/>
    </x:font>
    <x:font>
      <x:sz val="10"/>
      <x:color rgb="FF1E293B"/>
      <x:name val="Carlito"/>
    </x:font>
    <x:font>
      <x:b/>
      <x:sz val="11"/>
      <x:color rgb="FFFFFFFF"/>
      <x:name val="Carlito"/>
    </x:font>
    <x:font>
      <x:b/>
      <x:sz val="14"/>
      <x:color rgb="FF2563EB"/>
      <x:name val="Carlito"/>
    </x:font>
    <x:font>
      <x:b/>
      <x:sz val="11"/>
      <x:color rgb="FF2563EB"/>
      <x:name val="Carlito"/>
    </x:font>
    <x:font>
      <x:b/>
      <x:sz val="11"/>
      <x:color rgb="FF1E293B"/>
      <x:name val="Carlito"/>
    </x:font>
  </x:fonts>
  <x:fills count="10">
    <x:fill>
      <x:patternFill patternType="none"/>
    </x:fill>
    <x:fill>
      <x:patternFill patternType="gray125"/>
    </x:fill>
    <x:fill>
      <x:patternFill patternType="solid">
        <x:fgColor rgb="FF0F172A"/>
      </x:patternFill>
    </x:fill>
    <x:fill>
      <x:patternFill patternType="solid">
        <x:fgColor rgb="FFF8FAFC"/>
      </x:patternFill>
    </x:fill>
    <x:fill>
      <x:patternFill patternType="solid">
        <x:fgColor rgb="FF2563EB"/>
      </x:patternFill>
    </x:fill>
    <x:fill>
      <x:patternFill patternType="solid">
        <x:fgColor rgb="FFF97316"/>
      </x:patternFill>
    </x:fill>
    <x:fill>
      <x:patternFill patternType="solid">
        <x:fgColor rgb="FFDBEAFE"/>
      </x:patternFill>
    </x:fill>
    <x:fill>
      <x:patternFill patternType="solid">
        <x:fgColor rgb="FF10B981"/>
      </x:patternFill>
    </x:fill>
    <x:fill>
      <x:patternFill patternType="solid">
        <x:fgColor rgb="FFECFDF5"/>
      </x:patternFill>
    </x:fill>
    <x:fill>
      <x:patternFill patternType="solid">
        <x:fgColor rgb="FFFFF7ED"/>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5" fillId="0"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200" fontId="5" fillId="6" borderId="1" xfId="0" applyNumberFormat="1" applyFont="1" applyFill="1" applyBorder="1" applyAlignment="1">
      <x:alignment vertical="center" wrapText="1"/>
    </x:xf>
    <x:xf numFmtId="201" fontId="5" fillId="6" borderId="1"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vertical="center"/>
    </x:xf>
    <x:xf numFmtId="0" fontId="0" fillId="8" borderId="1" xfId="0" applyNumberFormat="1" applyFont="1" applyFill="1" applyBorder="1" applyAlignment="1">
      <x:alignment vertical="center" wrapText="1"/>
    </x:xf>
    <x:xf numFmtId="0" fontId="6" fillId="8" borderId="1" xfId="0" applyNumberFormat="1" applyFont="1" applyFill="1" applyBorder="1" applyAlignment="1">
      <x:alignment vertical="center" wrapText="1"/>
    </x:xf>
    <x:xf numFmtId="200" fontId="6" fillId="8" borderId="1" xfId="0" applyNumberFormat="1" applyFont="1" applyFill="1" applyBorder="1" applyAlignment="1">
      <x:alignment vertical="center" wrapText="1"/>
    </x:xf>
    <x:xf numFmtId="202" fontId="6" fillId="8" borderId="1" xfId="0" applyNumberFormat="1" applyFont="1" applyFill="1" applyBorder="1" applyAlignment="1">
      <x:alignment vertical="center" wrapText="1"/>
    </x:xf>
    <x:xf numFmtId="203" fontId="6" fillId="8" borderId="1"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vertical="center" wrapText="1"/>
    </x:xf>
    <x:xf numFmtId="204" fontId="5" fillId="6" borderId="1" xfId="0" applyNumberFormat="1" applyFont="1" applyFill="1" applyBorder="1" applyAlignment="1">
      <x:alignment vertical="center" wrapText="1"/>
    </x:xf>
    <x:xf numFmtId="203" fontId="5" fillId="6" borderId="1" xfId="0" applyNumberFormat="1" applyFont="1" applyFill="1" applyBorder="1" applyAlignment="1">
      <x:alignment vertical="center" wrapText="1"/>
    </x:xf>
    <x:xf numFmtId="205" fontId="5" fillId="6" borderId="1" xfId="0" applyNumberFormat="1" applyFont="1" applyFill="1" applyBorder="1" applyAlignment="1">
      <x:alignment vertical="center" wrapText="1"/>
    </x:xf>
    <x:xf numFmtId="206" fontId="5" fillId="6" borderId="1" xfId="0" applyNumberFormat="1" applyFont="1" applyFill="1" applyBorder="1" applyAlignment="1">
      <x:alignment vertical="center" wrapText="1"/>
    </x:xf>
    <x:xf numFmtId="207" fontId="6" fillId="8" borderId="1"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208" fontId="5" fillId="6" borderId="1"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209" fontId="0" fillId="0" borderId="1" xfId="0" applyNumberFormat="1" applyFont="1" applyFill="1" applyBorder="1" applyAlignment="1">
      <x:alignment vertical="center" wrapText="1"/>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203" fontId="0"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ff9c0ccb35405f" /><Relationship Type="http://schemas.openxmlformats.org/officeDocument/2006/relationships/theme" Target="/xl/theme/theme1.xml" Id="R623f5a94741d4713" /><Relationship Type="http://schemas.openxmlformats.org/officeDocument/2006/relationships/sharedStrings" Target="/xl/sharedStrings.xml" Id="R471bef60ab0a48d8" /><Relationship Type="http://schemas.openxmlformats.org/officeDocument/2006/relationships/worksheet" Target="/xl/worksheets/sheet1.xml" Id="R14078b55cbff4ccb" /><Relationship Type="http://schemas.openxmlformats.org/officeDocument/2006/relationships/worksheet" Target="/xl/worksheets/sheet2.xml" Id="R09dc26e21d7f4d55" /><Relationship Type="http://schemas.openxmlformats.org/officeDocument/2006/relationships/worksheet" Target="/xl/worksheets/sheet3.xml" Id="R96c4ef94219c481b" /><Relationship Type="http://schemas.openxmlformats.org/officeDocument/2006/relationships/worksheet" Target="/xl/worksheets/sheet4.xml" Id="R7008315d44d447fd" /><Relationship Type="http://schemas.openxmlformats.org/officeDocument/2006/relationships/worksheet" Target="/xl/worksheets/sheet5.xml" Id="Rd706ae80b059415b" /><Relationship Type="http://schemas.openxmlformats.org/officeDocument/2006/relationships/worksheet" Target="/xl/worksheets/sheet6.xml" Id="Rcc673e3fdfdd4b13" /><Relationship Type="http://schemas.openxmlformats.org/officeDocument/2006/relationships/worksheet" Target="/xl/worksheets/sheet7.xml" Id="R4f8807fd564a47f9" /><Relationship Type="http://schemas.openxmlformats.org/officeDocument/2006/relationships/worksheet" Target="/xl/worksheets/sheet8.xml" Id="Ra3989611c52047cb" /></Relationships>
</file>

<file path=xl/drawings/_rels/drawing1.xml.rels>&#65279;<?xml version="1.0" encoding="utf-8"?><Relationships xmlns="http://schemas.openxmlformats.org/package/2006/relationships"><Relationship Type="http://schemas.openxmlformats.org/officeDocument/2006/relationships/chart" Target="/xl/drawings/charts/chart1.xml" Id="Rf02929571f404212" /></Relationships>
</file>

<file path=xl/drawings/_rels/drawing2.xml.rels>&#65279;<?xml version="1.0" encoding="utf-8"?><Relationships xmlns="http://schemas.openxmlformats.org/package/2006/relationships"><Relationship Type="http://schemas.openxmlformats.org/officeDocument/2006/relationships/chart" Target="/xl/drawings/charts/chart2.xml" Id="R3fda01546f9a4f0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Qualified pipeline: required vs current</a:t>
            </a:r>
          </a:p>
        </c:rich>
      </c:tx>
      <c:overlay val="0"/>
    </c:title>
    <c:plotArea>
      <c:barChart>
        <c:barDir val="col"/>
        <c:varyColors val="0"/>
        <c:ser>
          <c:idx val="0"/>
          <c:order val="0"/>
          <c:tx>
            <c:v>Value</c:v>
          </c:tx>
          <c:cat>
            <c:strRef>
              <c:f>'Quota &amp; Coverage'!$I$5:$I$6</c:f>
              <c:strCache>
                <c:ptCount val="0"/>
              </c:strCache>
            </c:strRef>
          </c:cat>
          <c:val>
            <c:numRef>
              <c:f>'Quota &amp; Coverage'!$J$5:$J$6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Estimated cost of waiting</a:t>
            </a:r>
          </a:p>
        </c:rich>
      </c:tx>
      <c:overlay val="0"/>
    </c:title>
    <c:plotArea>
      <c:barChart>
        <c:barDir val="col"/>
        <c:varyColors val="0"/>
        <c:ser>
          <c:idx val="0"/>
          <c:order val="0"/>
          <c:tx>
            <c:v>Estimated cost</c:v>
          </c:tx>
          <c:cat>
            <c:strRef>
              <c:f>'Cost of Inaction'!$I$5:$I$6</c:f>
              <c:strCache>
                <c:ptCount val="0"/>
              </c:strCache>
            </c:strRef>
          </c:cat>
          <c:val>
            <c:numRef>
              <c:f>'Cost of Inaction'!$J$5:$J$6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7</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02929571f404212"/>
        </a:graphicData>
      </a:graphic>
    </xdr:graphicFrame>
    <xdr:clientData/>
  </xdr:twoCellAnchor>
</xdr:wsDr>
</file>

<file path=xl/drawings/drawing2.xml><?xml version="1.0" encoding="utf-8"?>
<xdr:wsDr xmlns:xdr="http://schemas.openxmlformats.org/drawingml/2006/spreadsheetDrawing">
  <xdr:twoCellAnchor>
    <xdr:from>
      <xdr:col>8</xdr:col>
      <xdr:colOff>0</xdr:colOff>
      <xdr:row>7</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da01546f9a4f0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e84ed7c61f894e14" /></Relationships>
</file>

<file path=xl/worksheets/_rels/sheet3.xml.rels>&#65279;<?xml version="1.0" encoding="utf-8"?><Relationships xmlns="http://schemas.openxmlformats.org/package/2006/relationships"><Relationship Type="http://schemas.openxmlformats.org/officeDocument/2006/relationships/drawing" Target="/xl/drawings/drawing2.xml" Id="Read0de25556a4d5d"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24" hidden="0" customHeight="1">
      <x:c r="A1" s="3" t="str">
        <x:v>VSA Pipeline Coverage &amp; Quota Calculator</x:v>
      </x:c>
      <x:c r="B1" s="3"/>
      <x:c r="C1" s="3"/>
      <x:c r="D1" s="3"/>
      <x:c r="E1" s="3"/>
      <x:c r="F1" s="3"/>
      <x:c r="G1" s="3"/>
      <x:c r="H1" s="3"/>
    </x:row>
    <x:row r="2" ht="15" hidden="0" customHeight="1">
      <x:c r="A2" s="7" t="str">
        <x:v>Use your own evidence. Blue cells are editable assumptions; green cells are formula-driven outputs.</x:v>
      </x:c>
      <x:c r="B2" s="7"/>
      <x:c r="C2" s="7"/>
      <x:c r="D2" s="7"/>
      <x:c r="E2" s="7"/>
      <x:c r="F2" s="7"/>
      <x:c r="G2" s="7"/>
      <x:c r="H2" s="7"/>
    </x:row>
    <x:row r="3"/>
    <x:row r="4" ht="15" hidden="0" customHeight="1">
      <x:c r="A4" s="10" t="str">
        <x:v>HOW TO USE</x:v>
      </x:c>
      <x:c r="B4" s="10"/>
      <x:c r="C4" s="10"/>
      <x:c r="D4" s="10"/>
      <x:c r="E4" s="10"/>
      <x:c r="F4" s="10"/>
      <x:c r="G4" s="10"/>
      <x:c r="H4" s="10"/>
    </x:row>
    <x:row r="5" ht="16.799999237060547" hidden="0" customHeight="1">
      <x:c r="A5" s="12" t="str">
        <x:v>1</x:v>
      </x:c>
      <x:c r="B5" s="14" t="str">
        <x:v>Start in Quota &amp; Coverage. Enter quota, historical win rate, and qualified pipeline.</x:v>
      </x:c>
      <x:c r="C5" s="14" t="str"/>
      <x:c r="D5" s="14" t="str"/>
      <x:c r="E5" s="14" t="str"/>
      <x:c r="F5" s="14" t="str"/>
      <x:c r="G5" s="14" t="str"/>
      <x:c r="H5" s="14" t="str"/>
    </x:row>
    <x:row r="6" ht="16.799999237060547" hidden="0" customHeight="1">
      <x:c r="A6" s="12" t="str">
        <x:v>2</x:v>
      </x:c>
      <x:c r="B6" s="14" t="str">
        <x:v>Use Cost of Inaction only with buyer-approved assumptions. Never manufacture urgency.</x:v>
      </x:c>
      <x:c r="C6" s="14" t="str"/>
      <x:c r="D6" s="14" t="str"/>
      <x:c r="E6" s="14" t="str"/>
      <x:c r="F6" s="14" t="str"/>
      <x:c r="G6" s="14" t="str"/>
      <x:c r="H6" s="14" t="str"/>
    </x:row>
    <x:row r="7" ht="16.799999237060547" hidden="0" customHeight="1">
      <x:c r="A7" s="12" t="str">
        <x:v>3</x:v>
      </x:c>
      <x:c r="B7" s="14" t="str">
        <x:v>Use Activity Model to translate a pipeline or meeting target into weekly controllable inputs.</x:v>
      </x:c>
      <x:c r="C7" s="14" t="str"/>
      <x:c r="D7" s="14" t="str"/>
      <x:c r="E7" s="14" t="str"/>
      <x:c r="F7" s="14" t="str"/>
      <x:c r="G7" s="14" t="str"/>
      <x:c r="H7" s="14" t="str"/>
    </x:row>
    <x:row r="8" ht="16.799999237060547" hidden="0" customHeight="1">
      <x:c r="A8" s="12" t="str">
        <x:v>4</x:v>
      </x:c>
      <x:c r="B8" s="14" t="str">
        <x:v>Track actuals for at least four weeks before treating a rate as reliable.</x:v>
      </x:c>
      <x:c r="C8" s="14" t="str"/>
      <x:c r="D8" s="14" t="str"/>
      <x:c r="E8" s="14" t="str"/>
      <x:c r="F8" s="14" t="str"/>
      <x:c r="G8" s="14" t="str"/>
      <x:c r="H8" s="14" t="str"/>
    </x:row>
    <x:row r="9" ht="16.799999237060547" hidden="0" customHeight="1">
      <x:c r="A9" s="12" t="str">
        <x:v>5</x:v>
      </x:c>
      <x:c r="B9" s="14" t="str">
        <x:v>Change one important conversion assumption at a time in Scenario Lab.</x:v>
      </x:c>
      <x:c r="C9" s="14" t="str"/>
      <x:c r="D9" s="14" t="str"/>
      <x:c r="E9" s="14" t="str"/>
      <x:c r="F9" s="14" t="str"/>
      <x:c r="G9" s="14" t="str"/>
      <x:c r="H9" s="14" t="str"/>
    </x:row>
    <x:row r="10" ht="16.799999237060547" hidden="0" customHeight="1">
      <x:c r="A10" s="12" t="str">
        <x:v>6</x:v>
      </x:c>
      <x:c r="B10" s="14" t="str">
        <x:v>Review Sources &amp; Notes to distinguish VSA-original logic from external validation.</x:v>
      </x:c>
      <x:c r="C10" s="14" t="str"/>
      <x:c r="D10" s="14" t="str"/>
      <x:c r="E10" s="14" t="str"/>
      <x:c r="F10" s="14" t="str"/>
      <x:c r="G10" s="14" t="str"/>
      <x:c r="H10" s="14" t="str"/>
    </x:row>
    <x:row r="11"/>
    <x:row r="12" ht="15" hidden="0" customHeight="1">
      <x:c r="A12" s="17" t="str">
        <x:v>BEGINNER GUARDRAILS</x:v>
      </x:c>
      <x:c r="B12" s="17"/>
      <x:c r="C12" s="17"/>
      <x:c r="D12" s="17"/>
      <x:c r="E12" s="17"/>
      <x:c r="F12" s="17"/>
      <x:c r="G12" s="17"/>
      <x:c r="H12" s="17"/>
    </x:row>
    <x:row r="13" ht="15" hidden="0" customHeight="1">
      <x:c r="A13" s="18" t="str">
        <x:v>Qualified means</x:v>
      </x:c>
      <x:c r="B13" t="str">
        <x:v>The opportunity meets your company's agreed criteria - not simply that a record exists.</x:v>
      </x:c>
    </x:row>
    <x:row r="14" ht="15" hidden="0" customHeight="1">
      <x:c r="A14" s="18" t="str">
        <x:v>Coverage is not universal</x:v>
      </x:c>
      <x:c r="B14" t="str">
        <x:v>A 3x, 4x, or 5x rule is only a planning shortcut. Use your actual win rate when possible.</x:v>
      </x:c>
    </x:row>
    <x:row r="15" ht="15" hidden="0" customHeight="1">
      <x:c r="A15" s="18" t="str">
        <x:v>Inputs need a period</x:v>
      </x:c>
      <x:c r="B15" t="str">
        <x:v>Record the segment and time period behind every conversion rate.</x:v>
      </x:c>
    </x:row>
    <x:row r="16" ht="15" hidden="0" customHeight="1">
      <x:c r="A16" s="18" t="str">
        <x:v>Cost is a conversation</x:v>
      </x:c>
      <x:c r="B16" t="str">
        <x:v>Use buyer-approved inputs and identify possible double counting.</x:v>
      </x:c>
    </x:row>
    <x:row r="17" ht="15" hidden="0" customHeight="1">
      <x:c r="A17" s="18" t="str">
        <x:v>Integrity first</x:v>
      </x:c>
      <x:c r="B17" t="str">
        <x:v>Never inflate meetings, opportunities, deal values, or buyer costs to make a number look better.</x:v>
      </x:c>
    </x:row>
  </x:sheetData>
  <x:mergeCells>
    <x:mergeCell ref="A1:H1"/>
    <x:mergeCell ref="A2:H2"/>
    <x:mergeCell ref="A4:H4"/>
    <x:mergeCell ref="B5:H5"/>
    <x:mergeCell ref="B6:H6"/>
    <x:mergeCell ref="B7:H7"/>
    <x:mergeCell ref="B8:H8"/>
    <x:mergeCell ref="B9:H9"/>
    <x:mergeCell ref="B10:H10"/>
    <x:mergeCell ref="A12: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9" hidden="0" customWidth="1"/>
    <x:col min="2" max="2" width="18" hidden="0" customWidth="1"/>
    <x:col min="3" max="3" width="42" hidden="0" customWidth="1"/>
    <x:col min="4" max="4" width="3" hidden="0" customWidth="1"/>
    <x:col min="5" max="5" width="29" hidden="0" customWidth="1"/>
    <x:col min="6" max="6" width="18" hidden="0" customWidth="1"/>
    <x:col min="7" max="7" width="34" hidden="0" customWidth="1"/>
    <x:col min="9" max="9" width="16" hidden="0" customWidth="1"/>
    <x:col min="10" max="10" width="16" hidden="0" customWidth="1"/>
  </x:cols>
  <x:sheetData>
    <x:row r="1" ht="24" hidden="0" customHeight="1">
      <x:c r="A1" s="3" t="str">
        <x:v>Quota &amp; Coverage</x:v>
      </x:c>
      <x:c r="B1" s="3"/>
      <x:c r="C1" s="3"/>
      <x:c r="D1" s="3"/>
      <x:c r="E1" s="3"/>
      <x:c r="F1" s="3"/>
      <x:c r="G1" s="3"/>
      <x:c r="H1" s="3"/>
      <x:c r="I1" s="3"/>
      <x:c r="J1" s="3"/>
    </x:row>
    <x:row r="2" ht="15" hidden="0" customHeight="1">
      <x:c r="A2" s="7" t="str">
        <x:v>Calculate the pipeline required from historical win rate, then compare it with qualified current pipeline.</x:v>
      </x:c>
      <x:c r="B2" s="7"/>
      <x:c r="C2" s="7"/>
      <x:c r="D2" s="7"/>
      <x:c r="E2" s="7"/>
      <x:c r="F2" s="7"/>
      <x:c r="G2" s="7"/>
      <x:c r="H2" s="7"/>
      <x:c r="I2" s="7"/>
      <x:c r="J2" s="7"/>
    </x:row>
    <x:row r="3"/>
    <x:row r="4" ht="15" hidden="0" customHeight="1">
      <x:c r="A4" s="10" t="str">
        <x:v>INPUTS</x:v>
      </x:c>
      <x:c r="B4" s="10"/>
      <x:c r="C4" s="10"/>
      <x:c r="E4" s="32" t="str">
        <x:v>FORMULA-DRIVEN OUTPUTS</x:v>
      </x:c>
      <x:c r="F4" s="32"/>
      <x:c r="G4" s="32"/>
      <x:c r="I4" s="22" t="str">
        <x:v>Coverage view</x:v>
      </x:c>
      <x:c r="J4" s="22" t="str">
        <x:v>Value</x:v>
      </x:c>
    </x:row>
    <x:row r="5" ht="15" hidden="0" customHeight="1">
      <x:c r="A5" s="22" t="str">
        <x:v>Input</x:v>
      </x:c>
      <x:c r="B5" s="22" t="str">
        <x:v>Value</x:v>
      </x:c>
      <x:c r="C5" s="22" t="str">
        <x:v>Definition</x:v>
      </x:c>
      <x:c r="E5" s="22" t="str">
        <x:v>Output</x:v>
      </x:c>
      <x:c r="F5" s="22" t="str">
        <x:v>Result</x:v>
      </x:c>
      <x:c r="G5" s="22" t="str">
        <x:v>Interpretation</x:v>
      </x:c>
      <x:c r="I5" s="25" t="str">
        <x:v>Required</x:v>
      </x:c>
      <x:c r="J5" s="38" t="n">
        <x:f>F6</x:f>
        <x:v>400000</x:v>
      </x:c>
    </x:row>
    <x:row r="6" ht="15" hidden="0" customHeight="1">
      <x:c r="A6" s="25" t="str">
        <x:v>Quarterly quota</x:v>
      </x:c>
      <x:c r="B6" s="28" t="n">
        <x:v>100000</x:v>
      </x:c>
      <x:c r="C6" s="25" t="str">
        <x:v>Revenue target for the same period as the pipeline</x:v>
      </x:c>
      <x:c r="E6" s="25" t="str">
        <x:v>Required qualified pipeline</x:v>
      </x:c>
      <x:c r="F6" s="35" t="n">
        <x:f>IFERROR(B6/B7,0)</x:f>
        <x:v>400000</x:v>
      </x:c>
      <x:c r="G6" s="25" t="str">
        <x:v>Quota ÷ historical win rate</x:v>
      </x:c>
      <x:c r="I6" s="25" t="str">
        <x:v>Current</x:v>
      </x:c>
      <x:c r="J6" s="38" t="n">
        <x:f>B8</x:f>
        <x:v>250000</x:v>
      </x:c>
    </x:row>
    <x:row r="7" ht="26.399999618530273" hidden="0" customHeight="1">
      <x:c r="A7" s="25" t="str">
        <x:v>Historical win rate</x:v>
      </x:c>
      <x:c r="B7" s="29" t="n">
        <x:v>0.25</x:v>
      </x:c>
      <x:c r="C7" s="25" t="str">
        <x:v>Won opportunities ÷ closed opportunities for a comparable segment and period</x:v>
      </x:c>
      <x:c r="E7" s="25" t="str">
        <x:v>Implied coverage multiple</x:v>
      </x:c>
      <x:c r="F7" s="36" t="n">
        <x:f>IFERROR(F6/B6,0)</x:f>
        <x:v>4</x:v>
      </x:c>
      <x:c r="G7" s="25" t="str">
        <x:v>Required pipeline ÷ quota; equivalent to 1 ÷ win rate</x:v>
      </x:c>
    </x:row>
    <x:row r="8" ht="26.399999618530273" hidden="0" customHeight="1">
      <x:c r="A8" s="25" t="str">
        <x:v>Current qualified pipeline</x:v>
      </x:c>
      <x:c r="B8" s="28" t="n">
        <x:v>250000</x:v>
      </x:c>
      <x:c r="C8" s="25" t="str">
        <x:v>Unweighted value of opportunities that meet qualification criteria</x:v>
      </x:c>
      <x:c r="E8" s="25" t="str">
        <x:v>Current unweighted coverage</x:v>
      </x:c>
      <x:c r="F8" s="36" t="n">
        <x:f>IFERROR(B8/B6,0)</x:f>
        <x:v>2.5</x:v>
      </x:c>
      <x:c r="G8" s="25" t="str">
        <x:v>Current qualified pipeline ÷ quota</x:v>
      </x:c>
    </x:row>
    <x:row r="9" ht="26.399999618530273" hidden="0" customHeight="1">
      <x:c r="A9" s="25" t="str">
        <x:v>Current weighted pipeline</x:v>
      </x:c>
      <x:c r="B9" s="28" t="n">
        <x:v>125000</x:v>
      </x:c>
      <x:c r="C9" s="25" t="str">
        <x:v>Stage-weighted or opportunity-weighted value, if your company uses it</x:v>
      </x:c>
      <x:c r="E9" s="25" t="str">
        <x:v>Current weighted coverage</x:v>
      </x:c>
      <x:c r="F9" s="36" t="n">
        <x:f>IFERROR(B9/B6,0)</x:f>
        <x:v>1.25</x:v>
      </x:c>
      <x:c r="G9" s="25" t="str">
        <x:v>Weighted pipeline ÷ quota</x:v>
      </x:c>
    </x:row>
    <x:row r="10" ht="15" hidden="0" customHeight="1">
      <x:c r="A10" s="25" t="str">
        <x:v>Average opportunity value</x:v>
      </x:c>
      <x:c r="B10" s="28" t="n">
        <x:v>20000</x:v>
      </x:c>
      <x:c r="C10" s="25" t="str">
        <x:v>Average qualified opportunity amount</x:v>
      </x:c>
      <x:c r="E10" s="25" t="str">
        <x:v>Qualified pipeline gap</x:v>
      </x:c>
      <x:c r="F10" s="35" t="n">
        <x:f>MAX(F6-B8,0)</x:f>
        <x:v>150000</x:v>
      </x:c>
      <x:c r="G10" s="25" t="str">
        <x:v>Required pipeline - current qualified pipeline</x:v>
      </x:c>
    </x:row>
    <x:row r="11" ht="26.399999618530273" hidden="0" customHeight="1">
      <x:c r="A11" s="25" t="str">
        <x:v>Planning period</x:v>
      </x:c>
      <x:c r="B11" s="27" t="str">
        <x:v>Current quarter</x:v>
      </x:c>
      <x:c r="C11" s="25" t="str">
        <x:v>Keep quota, pipeline, and win rate aligned to the same period</x:v>
      </x:c>
      <x:c r="E11" s="25" t="str">
        <x:v>Approx. additional opps needed</x:v>
      </x:c>
      <x:c r="F11" s="37" t="n">
        <x:f>IFERROR(ROUNDUP(F10/B10,0),0)</x:f>
        <x:v>8</x:v>
      </x:c>
      <x:c r="G11" s="25" t="str">
        <x:v>Positive gap ÷ average opportunity value</x:v>
      </x:c>
    </x:row>
    <x:row r="12" ht="26.399999618530273" hidden="0" customHeight="1">
      <x:c r="E12" s="25" t="str">
        <x:v>Coverage status</x:v>
      </x:c>
      <x:c r="F12" s="34" t="str">
        <x:f>IF(F8&gt;=F7,"ON OR ABOVE PLAN","COVERAGE GAP")</x:f>
        <x:v>COVERAGE GAP</x:v>
      </x:c>
      <x:c r="G12" s="25" t="str">
        <x:v>Current coverage compared with required coverage</x:v>
      </x:c>
    </x:row>
    <x:row r="13"/>
    <x:row r="14" ht="26.399999618530273" hidden="0" customHeight="1">
      <x:c r="A14" s="42" t="str">
        <x:v>Do not apply a universal 3x or 4x target without context. Clari notes that required coverage varies with historical win rate, segment, sales cycle, deal size, and qualification quality. The workbook calculates the multiple from your entered win rate.</x:v>
      </x:c>
      <x:c r="B14" s="42"/>
      <x:c r="C14" s="42"/>
      <x:c r="D14" s="42"/>
      <x:c r="E14" s="42"/>
      <x:c r="F14" s="42"/>
      <x:c r="G14" s="42"/>
    </x:row>
    <x:row r="15" ht="15" hidden="0" customHeight="1">
      <x:c r="A15" s="42"/>
      <x:c r="B15" s="42"/>
      <x:c r="C15" s="42"/>
      <x:c r="D15" s="42"/>
      <x:c r="E15" s="42"/>
      <x:c r="F15" s="42"/>
      <x:c r="G15" s="42"/>
    </x:row>
    <x:row r="16" ht="15" hidden="0" customHeight="1">
      <x:c r="A16" s="42"/>
      <x:c r="B16" s="42"/>
      <x:c r="C16" s="42"/>
      <x:c r="D16" s="42"/>
      <x:c r="E16" s="42"/>
      <x:c r="F16" s="42"/>
      <x:c r="G16" s="42"/>
    </x:row>
    <x:row r="17" ht="15" hidden="0" customHeight="1">
      <x:c r="A17" s="42"/>
      <x:c r="B17" s="42"/>
      <x:c r="C17" s="42"/>
      <x:c r="D17" s="42"/>
      <x:c r="E17" s="42"/>
      <x:c r="F17" s="42"/>
      <x:c r="G17" s="42"/>
    </x:row>
  </x:sheetData>
  <x:mergeCells>
    <x:mergeCell ref="A1:J1"/>
    <x:mergeCell ref="A2:J2"/>
    <x:mergeCell ref="A4:C4"/>
    <x:mergeCell ref="E4:G4"/>
    <x:mergeCell ref="A14:G14"/>
    <x:mergeCell ref="A15:G15"/>
    <x:mergeCell ref="A16:G16"/>
    <x:mergeCell ref="A17:G17"/>
  </x:mergeCells>
  <x:pageMargins left="0.7" right="0.7" top="0.75" bottom="0.75" header="0.3" footer="0.3"/>
  <x:drawing xmlns:r="http://schemas.openxmlformats.org/officeDocument/2006/relationships" r:id="Re84ed7c61f894e14"/>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40" hidden="0" customWidth="1"/>
    <x:col min="4" max="4" width="3" hidden="0" customWidth="1"/>
    <x:col min="5" max="5" width="30" hidden="0" customWidth="1"/>
    <x:col min="6" max="6" width="18" hidden="0" customWidth="1"/>
    <x:col min="7" max="7" width="33" hidden="0" customWidth="1"/>
    <x:col min="9" max="9" width="17" hidden="0" customWidth="1"/>
    <x:col min="10" max="10" width="17" hidden="0" customWidth="1"/>
  </x:cols>
  <x:sheetData>
    <x:row r="1" ht="24" hidden="0" customHeight="1">
      <x:c r="A1" s="3" t="str">
        <x:v>Compound Cost of Inaction</x:v>
      </x:c>
      <x:c r="B1" s="3"/>
      <x:c r="C1" s="3"/>
      <x:c r="D1" s="3"/>
      <x:c r="E1" s="3"/>
      <x:c r="F1" s="3"/>
      <x:c r="G1" s="3"/>
      <x:c r="H1" s="3"/>
      <x:c r="I1" s="3"/>
      <x:c r="J1" s="3"/>
    </x:row>
    <x:row r="2" ht="15" hidden="0" customHeight="1">
      <x:c r="A2" s="7" t="str">
        <x:v>A buyer-approved screen-share model. Use as a discovery aid, not a pressure tactic.</x:v>
      </x:c>
      <x:c r="B2" s="7"/>
      <x:c r="C2" s="7"/>
      <x:c r="D2" s="7"/>
      <x:c r="E2" s="7"/>
      <x:c r="F2" s="7"/>
      <x:c r="G2" s="7"/>
      <x:c r="H2" s="7"/>
      <x:c r="I2" s="7"/>
      <x:c r="J2" s="7"/>
    </x:row>
    <x:row r="3"/>
    <x:row r="4" ht="15" hidden="0" customHeight="1">
      <x:c r="A4" s="10" t="str">
        <x:v>BUYER-APPROVED INPUTS</x:v>
      </x:c>
      <x:c r="B4" s="10"/>
      <x:c r="C4" s="10"/>
      <x:c r="E4" s="32" t="str">
        <x:v>CALCULATED IMPACT</x:v>
      </x:c>
      <x:c r="F4" s="32"/>
      <x:c r="G4" s="32"/>
      <x:c r="I4" s="22" t="str">
        <x:v>Decision view</x:v>
      </x:c>
      <x:c r="J4" s="22" t="str">
        <x:v>Estimated cost</x:v>
      </x:c>
    </x:row>
    <x:row r="5" ht="15" hidden="0" customHeight="1">
      <x:c r="A5" s="22" t="str">
        <x:v>Input</x:v>
      </x:c>
      <x:c r="B5" s="22" t="str">
        <x:v>Value</x:v>
      </x:c>
      <x:c r="C5" s="22" t="str">
        <x:v>Definition</x:v>
      </x:c>
      <x:c r="E5" s="22" t="str">
        <x:v>Output</x:v>
      </x:c>
      <x:c r="F5" s="22" t="str">
        <x:v>Result</x:v>
      </x:c>
      <x:c r="G5" s="22" t="str">
        <x:v>Formula logic</x:v>
      </x:c>
      <x:c r="I5" s="25" t="str">
        <x:v>Act now</x:v>
      </x:c>
      <x:c r="J5" s="38" t="n">
        <x:v>0</x:v>
      </x:c>
    </x:row>
    <x:row r="6" ht="15" hidden="0" customHeight="1">
      <x:c r="A6" s="25" t="str">
        <x:v>Hours lost per person / week</x:v>
      </x:c>
      <x:c r="B6" s="43" t="n">
        <x:v>3</x:v>
      </x:c>
      <x:c r="C6" s="25" t="str">
        <x:v>Time directly connected to the problem</x:v>
      </x:c>
      <x:c r="E6" s="25" t="str">
        <x:v>Weekly labor cost</x:v>
      </x:c>
      <x:c r="F6" s="35" t="n">
        <x:f>B6*B7*B8</x:f>
        <x:v>1320</x:v>
      </x:c>
      <x:c r="G6" s="25" t="str">
        <x:v>Hours × rate × people</x:v>
      </x:c>
      <x:c r="I6" s="25" t="str">
        <x:v>Wait entered period</x:v>
      </x:c>
      <x:c r="J6" s="38" t="n">
        <x:f>F10</x:f>
        <x:v>39471.42857142857</x:v>
      </x:c>
    </x:row>
    <x:row r="7" ht="26.399999618530273" hidden="0" customHeight="1">
      <x:c r="A7" s="25" t="str">
        <x:v>Burdened hourly cost</x:v>
      </x:c>
      <x:c r="B7" s="28" t="n">
        <x:v>55</x:v>
      </x:c>
      <x:c r="C7" s="25" t="str">
        <x:v>Compensation plus relevant employment costs</x:v>
      </x:c>
      <x:c r="E7" s="25" t="str">
        <x:v>Monthly delayed revenue</x:v>
      </x:c>
      <x:c r="F7" s="35" t="n">
        <x:f>B9*B10*B12</x:f>
        <x:v>7500</x:v>
      </x:c>
      <x:c r="G7" s="25" t="str">
        <x:v>Deals delayed × average deal value × realization factor</x:v>
      </x:c>
    </x:row>
    <x:row r="8" ht="15" hidden="0" customHeight="1">
      <x:c r="A8" s="25" t="str">
        <x:v>People affected</x:v>
      </x:c>
      <x:c r="B8" s="44" t="n">
        <x:v>8</x:v>
      </x:c>
      <x:c r="C8" s="25" t="str">
        <x:v>People experiencing the measured loss</x:v>
      </x:c>
      <x:c r="E8" s="25" t="str">
        <x:v>Labor cost across delay</x:v>
      </x:c>
      <x:c r="F8" s="35" t="n">
        <x:f>F6*(B11/7)</x:f>
        <x:v>16971.428571428572</x:v>
      </x:c>
      <x:c r="G8" s="25" t="str">
        <x:v>Weekly labor × delay days ÷ 7</x:v>
      </x:c>
    </x:row>
    <x:row r="9" ht="15" hidden="0" customHeight="1">
      <x:c r="A9" s="25" t="str">
        <x:v>Deals delayed per month</x:v>
      </x:c>
      <x:c r="B9" s="44" t="n">
        <x:v>1</x:v>
      </x:c>
      <x:c r="C9" s="25" t="str">
        <x:v>Deals reasonably connected to the problem</x:v>
      </x:c>
      <x:c r="E9" s="25" t="str">
        <x:v>Delayed revenue across delay</x:v>
      </x:c>
      <x:c r="F9" s="35" t="n">
        <x:f>F7*(B11/30)</x:f>
        <x:v>22500</x:v>
      </x:c>
      <x:c r="G9" s="25" t="str">
        <x:v>Monthly delayed revenue × delay days ÷ 30</x:v>
      </x:c>
    </x:row>
    <x:row r="10" ht="15" hidden="0" customHeight="1">
      <x:c r="A10" s="25" t="str">
        <x:v>Average deal value</x:v>
      </x:c>
      <x:c r="B10" s="28" t="n">
        <x:v>15000</x:v>
      </x:c>
      <x:c r="C10" s="25" t="str">
        <x:v>Expected value per delayed deal</x:v>
      </x:c>
      <x:c r="E10" s="25" t="str">
        <x:v>Total estimated cost of waiting</x:v>
      </x:c>
      <x:c r="F10" s="35" t="n">
        <x:f>F8+F9</x:f>
        <x:v>39471.42857142857</x:v>
      </x:c>
      <x:c r="G10" s="25" t="str">
        <x:v>Labor cost + delayed revenue</x:v>
      </x:c>
    </x:row>
    <x:row r="11" ht="15" hidden="0" customHeight="1">
      <x:c r="A11" s="25" t="str">
        <x:v>Delay period (days)</x:v>
      </x:c>
      <x:c r="B11" s="44" t="n">
        <x:v>90</x:v>
      </x:c>
      <x:c r="C11" s="25" t="str">
        <x:v>Time being evaluated</x:v>
      </x:c>
      <x:c r="E11" s="25" t="str">
        <x:v>Daily cost of waiting</x:v>
      </x:c>
      <x:c r="F11" s="35" t="n">
        <x:f>IFERROR(F10/B11,0)</x:f>
        <x:v>438.57142857142856</x:v>
      </x:c>
      <x:c r="G11" s="25" t="str">
        <x:v>Total cost ÷ delay days</x:v>
      </x:c>
    </x:row>
    <x:row r="12" ht="26.399999618530273" hidden="0" customHeight="1">
      <x:c r="A12" s="25" t="str">
        <x:v>Revenue realization factor</x:v>
      </x:c>
      <x:c r="B12" s="45" t="n">
        <x:v>0.5</x:v>
      </x:c>
      <x:c r="C12" s="25" t="str">
        <x:v>Portion of delayed deal value reasonably attributable to the delay</x:v>
      </x:c>
    </x:row>
    <x:row r="13"/>
    <x:row r="14" ht="26.399999618530273" hidden="0" customHeight="1">
      <x:c r="A14" s="42" t="str">
        <x:v>Conversation guardrail: ask the buyer to supply or approve each input. Clarify whether labor loss and delayed revenue overlap. Present the result as an estimate, show the formula, and invite correction. Never use the output as proof that your product will recover the full amount.</x:v>
      </x:c>
      <x:c r="B14" s="42"/>
      <x:c r="C14" s="42"/>
      <x:c r="D14" s="42"/>
      <x:c r="E14" s="42"/>
      <x:c r="F14" s="42"/>
      <x:c r="G14" s="42"/>
    </x:row>
    <x:row r="15" ht="15" hidden="0" customHeight="1">
      <x:c r="A15" s="42"/>
      <x:c r="B15" s="42"/>
      <x:c r="C15" s="42"/>
      <x:c r="D15" s="42"/>
      <x:c r="E15" s="42"/>
      <x:c r="F15" s="42"/>
      <x:c r="G15" s="42"/>
    </x:row>
    <x:row r="16" ht="15" hidden="0" customHeight="1">
      <x:c r="A16" s="42"/>
      <x:c r="B16" s="42"/>
      <x:c r="C16" s="42"/>
      <x:c r="D16" s="42"/>
      <x:c r="E16" s="42"/>
      <x:c r="F16" s="42"/>
      <x:c r="G16" s="42"/>
    </x:row>
    <x:row r="17" ht="15" hidden="0" customHeight="1">
      <x:c r="A17" s="42"/>
      <x:c r="B17" s="42"/>
      <x:c r="C17" s="42"/>
      <x:c r="D17" s="42"/>
      <x:c r="E17" s="42"/>
      <x:c r="F17" s="42"/>
      <x:c r="G17" s="42"/>
    </x:row>
    <x:row r="18" ht="15" hidden="0" customHeight="1">
      <x:c r="A18" s="42"/>
      <x:c r="B18" s="42"/>
      <x:c r="C18" s="42"/>
      <x:c r="D18" s="42"/>
      <x:c r="E18" s="42"/>
      <x:c r="F18" s="42"/>
      <x:c r="G18" s="42"/>
    </x:row>
  </x:sheetData>
  <x:mergeCells>
    <x:mergeCell ref="A1:J1"/>
    <x:mergeCell ref="A2:J2"/>
    <x:mergeCell ref="A4:C4"/>
    <x:mergeCell ref="E4:G4"/>
    <x:mergeCell ref="A14:G14"/>
    <x:mergeCell ref="A15:G15"/>
    <x:mergeCell ref="A16:G16"/>
    <x:mergeCell ref="A17:G17"/>
    <x:mergeCell ref="A18:G18"/>
  </x:mergeCells>
  <x:pageMargins left="0.7" right="0.7" top="0.75" bottom="0.75" header="0.3" footer="0.3"/>
  <x:drawing xmlns:r="http://schemas.openxmlformats.org/officeDocument/2006/relationships" r:id="Read0de25556a4d5d"/>
</x:worksheet>
</file>

<file path=xl/worksheets/sheet4.xml><?xml version="1.0" encoding="utf-8"?>
<x:worksheet xmlns:x="http://schemas.openxmlformats.org/spreadsheetml/2006/main">
  <x:sheetViews>
    <x:sheetView showGridLines="0" workbookViewId="0"/>
  </x:sheetViews>
  <x:sheetFormatPr defaultRowHeight="15"/>
  <x:cols>
    <x:col min="1" max="1" width="31" hidden="0" customWidth="1"/>
    <x:col min="2" max="2" width="17" hidden="0" customWidth="1"/>
    <x:col min="3" max="3" width="38" hidden="0" customWidth="1"/>
    <x:col min="4" max="4" width="3" hidden="0" customWidth="1"/>
    <x:col min="5" max="5" width="30" hidden="0" customWidth="1"/>
    <x:col min="6" max="6" width="17" hidden="0" customWidth="1"/>
    <x:col min="7" max="7" width="24" hidden="0" customWidth="1"/>
    <x:col min="8" max="8" width="24" hidden="0" customWidth="1"/>
  </x:cols>
  <x:sheetData>
    <x:row r="1" ht="24" hidden="0" customHeight="1">
      <x:c r="A1" s="3" t="str">
        <x:v>Activity Model</x:v>
      </x:c>
      <x:c r="B1" s="3"/>
      <x:c r="C1" s="3"/>
      <x:c r="D1" s="3"/>
      <x:c r="E1" s="3"/>
      <x:c r="F1" s="3"/>
      <x:c r="G1" s="3"/>
      <x:c r="H1" s="3"/>
    </x:row>
    <x:row r="2" ht="15" hidden="0" customHeight="1">
      <x:c r="A2" s="7" t="str">
        <x:v>Translate a pipeline or meeting target into weekly activity assumptions.</x:v>
      </x:c>
      <x:c r="B2" s="7"/>
      <x:c r="C2" s="7"/>
      <x:c r="D2" s="7"/>
      <x:c r="E2" s="7"/>
      <x:c r="F2" s="7"/>
      <x:c r="G2" s="7"/>
      <x:c r="H2" s="7"/>
    </x:row>
    <x:row r="3"/>
    <x:row r="4" ht="15" hidden="0" customHeight="1">
      <x:c r="A4" s="10" t="str">
        <x:v>INPUTS</x:v>
      </x:c>
      <x:c r="B4" s="10"/>
      <x:c r="C4" s="10"/>
      <x:c r="E4" s="32" t="str">
        <x:v>REQUIRED OUTPUTS</x:v>
      </x:c>
      <x:c r="F4" s="32"/>
      <x:c r="G4" s="32"/>
    </x:row>
    <x:row r="5" ht="15" hidden="0" customHeight="1">
      <x:c r="A5" s="22" t="str">
        <x:v>Input</x:v>
      </x:c>
      <x:c r="B5" s="22" t="str">
        <x:v>Value</x:v>
      </x:c>
      <x:c r="C5" s="22" t="str">
        <x:v>Definition</x:v>
      </x:c>
      <x:c r="E5" s="22" t="str">
        <x:v>Output</x:v>
      </x:c>
      <x:c r="F5" s="22" t="str">
        <x:v>Required</x:v>
      </x:c>
      <x:c r="G5" s="22" t="str">
        <x:v>Formula logic</x:v>
      </x:c>
    </x:row>
    <x:row r="6" ht="26.399999618530273" hidden="0" customHeight="1">
      <x:c r="A6" s="25" t="str">
        <x:v>Monthly pipeline target</x:v>
      </x:c>
      <x:c r="B6" s="28" t="n">
        <x:v>120000</x:v>
      </x:c>
      <x:c r="C6" s="25" t="str">
        <x:v>Qualified pipeline to create</x:v>
      </x:c>
      <x:c r="E6" s="25" t="str">
        <x:v>Monthly accepted opportunities</x:v>
      </x:c>
      <x:c r="F6" s="47" t="n">
        <x:f>ROUNDUP(B6/B7,0)</x:f>
        <x:v>8</x:v>
      </x:c>
      <x:c r="G6" s="25" t="str">
        <x:v>Pipeline target ÷ average opportunity</x:v>
      </x:c>
    </x:row>
    <x:row r="7" ht="26.399999618530273" hidden="0" customHeight="1">
      <x:c r="A7" s="25" t="str">
        <x:v>Average opportunity value</x:v>
      </x:c>
      <x:c r="B7" s="28" t="n">
        <x:v>15000</x:v>
      </x:c>
      <x:c r="C7" s="25" t="str">
        <x:v>Average accepted opportunity amount</x:v>
      </x:c>
      <x:c r="E7" s="25" t="str">
        <x:v>Monthly held meetings</x:v>
      </x:c>
      <x:c r="F7" s="47" t="n">
        <x:f>ROUNDUP(F6/B8,0)</x:f>
        <x:v>15</x:v>
      </x:c>
      <x:c r="G7" s="25" t="str">
        <x:v>Accepted opportunities ÷ meeting-to-opportunity</x:v>
      </x:c>
    </x:row>
    <x:row r="8" ht="26.399999618530273" hidden="0" customHeight="1">
      <x:c r="A8" s="25" t="str">
        <x:v>Meeting to accepted opportunity</x:v>
      </x:c>
      <x:c r="B8" s="29" t="n">
        <x:v>0.55</x:v>
      </x:c>
      <x:c r="C8" s="25" t="str">
        <x:v>Share of held meetings accepted as qualified opportunities</x:v>
      </x:c>
      <x:c r="E8" s="25" t="str">
        <x:v>Monthly booked meetings</x:v>
      </x:c>
      <x:c r="F8" s="47" t="n">
        <x:f>IF(B15&gt;0,B15,ROUNDUP(F7/B9,0))</x:f>
        <x:v>19</x:v>
      </x:c>
      <x:c r="G8" s="25" t="str">
        <x:v>Held meetings ÷ show rate</x:v>
      </x:c>
    </x:row>
    <x:row r="9" ht="26.399999618530273" hidden="0" customHeight="1">
      <x:c r="A9" s="25" t="str">
        <x:v>Booked to held</x:v>
      </x:c>
      <x:c r="B9" s="29" t="n">
        <x:v>0.8</x:v>
      </x:c>
      <x:c r="C9" s="25" t="str">
        <x:v>Show rate</x:v>
      </x:c>
      <x:c r="E9" s="25" t="str">
        <x:v>Monthly positive conversations</x:v>
      </x:c>
      <x:c r="F9" s="47" t="n">
        <x:f>ROUNDUP(F8/B10,0)</x:f>
        <x:v>55</x:v>
      </x:c>
      <x:c r="G9" s="25" t="str">
        <x:v>Booked meetings ÷ conversation-to-booked</x:v>
      </x:c>
    </x:row>
    <x:row r="10" ht="26.399999618530273" hidden="0" customHeight="1">
      <x:c r="A10" s="25" t="str">
        <x:v>Positive conversation to booked</x:v>
      </x:c>
      <x:c r="B10" s="29" t="n">
        <x:v>0.35</x:v>
      </x:c>
      <x:c r="C10" s="25" t="str">
        <x:v>Share of positive conversations that book</x:v>
      </x:c>
      <x:c r="E10" s="25" t="str">
        <x:v>Monthly attempts</x:v>
      </x:c>
      <x:c r="F10" s="47" t="n">
        <x:f>ROUNDUP(F9/B11,0)</x:f>
        <x:v>688</x:v>
      </x:c>
      <x:c r="G10" s="25" t="str">
        <x:v>Positive conversations ÷ connect/reply rate</x:v>
      </x:c>
    </x:row>
    <x:row r="11" ht="26.399999618530273" hidden="0" customHeight="1">
      <x:c r="A11" s="25" t="str">
        <x:v>Connect / positive reply rate</x:v>
      </x:c>
      <x:c r="B11" s="29" t="n">
        <x:v>0.08</x:v>
      </x:c>
      <x:c r="C11" s="25" t="str">
        <x:v>Share of attempts that create a positive conversation</x:v>
      </x:c>
      <x:c r="E11" s="25" t="str">
        <x:v>Weekly attempts</x:v>
      </x:c>
      <x:c r="F11" s="47" t="n">
        <x:f>ROUNDUP(F10/B12,0)</x:f>
        <x:v>159</x:v>
      </x:c>
      <x:c r="G11" s="25" t="str">
        <x:v>Monthly attempts ÷ working weeks</x:v>
      </x:c>
    </x:row>
    <x:row r="12" ht="26.399999618530273" hidden="0" customHeight="1">
      <x:c r="A12" s="25" t="str">
        <x:v>Working weeks per month</x:v>
      </x:c>
      <x:c r="B12" s="46" t="n">
        <x:v>4.33</x:v>
      </x:c>
      <x:c r="C12" s="25" t="str">
        <x:v>Planning divisor</x:v>
      </x:c>
      <x:c r="E12" s="25" t="str">
        <x:v>Daily attempts</x:v>
      </x:c>
      <x:c r="F12" s="47" t="n">
        <x:f>ROUNDUP(F11/B13,0)</x:f>
        <x:v>32</x:v>
      </x:c>
      <x:c r="G12" s="25" t="str">
        <x:v>Weekly attempts ÷ working days</x:v>
      </x:c>
    </x:row>
    <x:row r="13" ht="26.399999618530273" hidden="0" customHeight="1">
      <x:c r="A13" s="25" t="str">
        <x:v>Working days per week</x:v>
      </x:c>
      <x:c r="B13" s="46" t="n">
        <x:v>5</x:v>
      </x:c>
      <x:c r="C13" s="25" t="str">
        <x:v>Planning divisor</x:v>
      </x:c>
      <x:c r="E13" s="25" t="str">
        <x:v>Weekly booked meetings</x:v>
      </x:c>
      <x:c r="F13" s="47" t="n">
        <x:f>ROUNDUP(F8/B12,1)</x:f>
        <x:v>4.4</x:v>
      </x:c>
      <x:c r="G13" s="25" t="str">
        <x:v>Monthly booked meetings ÷ working weeks</x:v>
      </x:c>
    </x:row>
    <x:row r="14" ht="26.399999618530273" hidden="0" customHeight="1">
      <x:c r="A14" s="25" t="str">
        <x:v>Current weekly attempts</x:v>
      </x:c>
      <x:c r="B14" s="46" t="n">
        <x:v>250</x:v>
      </x:c>
      <x:c r="C14" s="25" t="str">
        <x:v>For gap comparison</x:v>
      </x:c>
      <x:c r="E14" s="25" t="str">
        <x:v>Weekly attempt gap</x:v>
      </x:c>
      <x:c r="F14" s="47" t="n">
        <x:f>F11-B14</x:f>
        <x:v>-91</x:v>
      </x:c>
      <x:c r="G14" s="25" t="str">
        <x:v>Required weekly - current weekly</x:v>
      </x:c>
    </x:row>
    <x:row r="15" ht="15" hidden="0" customHeight="1">
      <x:c r="A15" s="25" t="str">
        <x:v>Optional direct monthly meeting target</x:v>
      </x:c>
      <x:c r="B15" s="46" t="n">
        <x:v>0</x:v>
      </x:c>
      <x:c r="C15" s="25" t="str">
        <x:v>If above zero, overrides pipeline-derived meetings</x:v>
      </x:c>
    </x:row>
    <x:row r="16" ht="26.399999618530273" hidden="0" customHeight="1">
      <x:c r="E16" s="42" t="str">
        <x:v>Diagnostic: if required attempts feel unrealistic, inspect the closest conversion: list quality, contact data, relevance, opener, CTA, show rate, qualification, or average opportunity value. Do not simply “work harder.”</x:v>
      </x:c>
      <x:c r="F16" s="42"/>
      <x:c r="G16" s="42"/>
      <x:c r="H16" s="42"/>
    </x:row>
    <x:row r="17" ht="15" hidden="0" customHeight="1">
      <x:c r="E17" s="42"/>
      <x:c r="F17" s="42"/>
      <x:c r="G17" s="42"/>
      <x:c r="H17" s="42"/>
    </x:row>
    <x:row r="18" ht="15" hidden="0" customHeight="1">
      <x:c r="E18" s="42"/>
      <x:c r="F18" s="42"/>
      <x:c r="G18" s="42"/>
      <x:c r="H18" s="42"/>
    </x:row>
    <x:row r="19" ht="15" hidden="0" customHeight="1">
      <x:c r="E19" s="42"/>
      <x:c r="F19" s="42"/>
      <x:c r="G19" s="42"/>
      <x:c r="H19" s="42"/>
    </x:row>
  </x:sheetData>
  <x:mergeCells>
    <x:mergeCell ref="A1:H1"/>
    <x:mergeCell ref="A2:H2"/>
    <x:mergeCell ref="A4:C4"/>
    <x:mergeCell ref="E4:G4"/>
    <x:mergeCell ref="E16:H16"/>
    <x:mergeCell ref="E17:H17"/>
    <x:mergeCell ref="E18:H18"/>
    <x:mergeCell ref="E19:H19"/>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5" hidden="0" customWidth="1"/>
    <x:col min="8" max="8" width="16" hidden="0" customWidth="1"/>
    <x:col min="9" max="9" width="16" hidden="0" customWidth="1"/>
    <x:col min="10" max="10" width="16" hidden="0" customWidth="1"/>
    <x:col min="11" max="11" width="16" hidden="0" customWidth="1"/>
    <x:col min="12" max="12" width="16" hidden="0" customWidth="1"/>
  </x:cols>
  <x:sheetData>
    <x:row r="1" ht="24" hidden="0" customHeight="1">
      <x:c r="A1" s="3" t="str">
        <x:v>Weekly Tracker</x:v>
      </x:c>
      <x:c r="B1" s="3"/>
      <x:c r="C1" s="3"/>
      <x:c r="D1" s="3"/>
      <x:c r="E1" s="3"/>
      <x:c r="F1" s="3"/>
      <x:c r="G1" s="3"/>
      <x:c r="H1" s="3"/>
      <x:c r="I1" s="3"/>
      <x:c r="J1" s="3"/>
      <x:c r="K1" s="3"/>
      <x:c r="L1" s="3"/>
    </x:row>
    <x:row r="2" ht="15" hidden="0" customHeight="1">
      <x:c r="A2" s="7" t="str">
        <x:v>Enter actual outcomes. Conversion rates calculate automatically and help identify the first weak link.</x:v>
      </x:c>
      <x:c r="B2" s="7"/>
      <x:c r="C2" s="7"/>
      <x:c r="D2" s="7"/>
      <x:c r="E2" s="7"/>
      <x:c r="F2" s="7"/>
      <x:c r="G2" s="7"/>
      <x:c r="H2" s="7"/>
      <x:c r="I2" s="7"/>
      <x:c r="J2" s="7"/>
      <x:c r="K2" s="7"/>
      <x:c r="L2" s="7"/>
    </x:row>
    <x:row r="3"/>
    <x:row r="4" ht="26.399999618530273" hidden="0" customHeight="1">
      <x:c r="A4" s="22" t="str">
        <x:v>Week starting</x:v>
      </x:c>
      <x:c r="B4" s="22" t="str">
        <x:v>Attempts</x:v>
      </x:c>
      <x:c r="C4" s="22" t="str">
        <x:v>Positive conversations</x:v>
      </x:c>
      <x:c r="D4" s="22" t="str">
        <x:v>Booked</x:v>
      </x:c>
      <x:c r="E4" s="22" t="str">
        <x:v>Held</x:v>
      </x:c>
      <x:c r="F4" s="22" t="str">
        <x:v>Accepted opps</x:v>
      </x:c>
      <x:c r="G4" s="22" t="str">
        <x:v>Pipeline $</x:v>
      </x:c>
      <x:c r="H4" s="22" t="str">
        <x:v>Connect / reply</x:v>
      </x:c>
      <x:c r="I4" s="22" t="str">
        <x:v>Conv. to booked</x:v>
      </x:c>
      <x:c r="J4" s="22" t="str">
        <x:v>Booked to held</x:v>
      </x:c>
      <x:c r="K4" s="22" t="str">
        <x:v>Held to opp</x:v>
      </x:c>
      <x:c r="L4" s="22" t="str">
        <x:v>Pipeline / attempt</x:v>
      </x:c>
    </x:row>
    <x:row r="5" ht="15" hidden="0" customHeight="1">
      <x:c r="A5" s="52"/>
      <x:c r="B5" s="44"/>
      <x:c r="C5" s="44"/>
      <x:c r="D5" s="44"/>
      <x:c r="E5" s="44"/>
      <x:c r="F5" s="44"/>
      <x:c r="G5" s="28"/>
      <x:c r="H5" s="53" t="n">
        <x:f>IFERROR(C5/B5,0)</x:f>
        <x:v>0</x:v>
      </x:c>
      <x:c r="I5" s="53" t="n">
        <x:f>IFERROR(D5/C5,0)</x:f>
        <x:v>0</x:v>
      </x:c>
      <x:c r="J5" s="53" t="n">
        <x:f>IFERROR(E5/D5,0)</x:f>
        <x:v>0</x:v>
      </x:c>
      <x:c r="K5" s="53" t="n">
        <x:f>IFERROR(F5/E5,0)</x:f>
        <x:v>0</x:v>
      </x:c>
      <x:c r="L5" s="54" t="n">
        <x:f>IFERROR(G5/B5,0)</x:f>
        <x:v>0</x:v>
      </x:c>
    </x:row>
    <x:row r="6" ht="15" hidden="0" customHeight="1">
      <x:c r="A6" s="52"/>
      <x:c r="B6" s="44"/>
      <x:c r="C6" s="44"/>
      <x:c r="D6" s="44"/>
      <x:c r="E6" s="44"/>
      <x:c r="F6" s="44"/>
      <x:c r="G6" s="28"/>
      <x:c r="H6" s="53" t="n">
        <x:f>IFERROR(C6/B6,0)</x:f>
        <x:v>0</x:v>
      </x:c>
      <x:c r="I6" s="53" t="n">
        <x:f>IFERROR(D6/C6,0)</x:f>
        <x:v>0</x:v>
      </x:c>
      <x:c r="J6" s="53" t="n">
        <x:f>IFERROR(E6/D6,0)</x:f>
        <x:v>0</x:v>
      </x:c>
      <x:c r="K6" s="53" t="n">
        <x:f>IFERROR(F6/E6,0)</x:f>
        <x:v>0</x:v>
      </x:c>
      <x:c r="L6" s="54" t="n">
        <x:f>IFERROR(G6/B6,0)</x:f>
        <x:v>0</x:v>
      </x:c>
    </x:row>
    <x:row r="7" ht="15" hidden="0" customHeight="1">
      <x:c r="A7" s="52"/>
      <x:c r="B7" s="44"/>
      <x:c r="C7" s="44"/>
      <x:c r="D7" s="44"/>
      <x:c r="E7" s="44"/>
      <x:c r="F7" s="44"/>
      <x:c r="G7" s="28"/>
      <x:c r="H7" s="53" t="n">
        <x:f>IFERROR(C7/B7,0)</x:f>
        <x:v>0</x:v>
      </x:c>
      <x:c r="I7" s="53" t="n">
        <x:f>IFERROR(D7/C7,0)</x:f>
        <x:v>0</x:v>
      </x:c>
      <x:c r="J7" s="53" t="n">
        <x:f>IFERROR(E7/D7,0)</x:f>
        <x:v>0</x:v>
      </x:c>
      <x:c r="K7" s="53" t="n">
        <x:f>IFERROR(F7/E7,0)</x:f>
        <x:v>0</x:v>
      </x:c>
      <x:c r="L7" s="54" t="n">
        <x:f>IFERROR(G7/B7,0)</x:f>
        <x:v>0</x:v>
      </x:c>
    </x:row>
    <x:row r="8" ht="15" hidden="0" customHeight="1">
      <x:c r="A8" s="52"/>
      <x:c r="B8" s="44"/>
      <x:c r="C8" s="44"/>
      <x:c r="D8" s="44"/>
      <x:c r="E8" s="44"/>
      <x:c r="F8" s="44"/>
      <x:c r="G8" s="28"/>
      <x:c r="H8" s="53" t="n">
        <x:f>IFERROR(C8/B8,0)</x:f>
        <x:v>0</x:v>
      </x:c>
      <x:c r="I8" s="53" t="n">
        <x:f>IFERROR(D8/C8,0)</x:f>
        <x:v>0</x:v>
      </x:c>
      <x:c r="J8" s="53" t="n">
        <x:f>IFERROR(E8/D8,0)</x:f>
        <x:v>0</x:v>
      </x:c>
      <x:c r="K8" s="53" t="n">
        <x:f>IFERROR(F8/E8,0)</x:f>
        <x:v>0</x:v>
      </x:c>
      <x:c r="L8" s="54" t="n">
        <x:f>IFERROR(G8/B8,0)</x:f>
        <x:v>0</x:v>
      </x:c>
    </x:row>
    <x:row r="9" ht="15" hidden="0" customHeight="1">
      <x:c r="A9" s="52"/>
      <x:c r="B9" s="44"/>
      <x:c r="C9" s="44"/>
      <x:c r="D9" s="44"/>
      <x:c r="E9" s="44"/>
      <x:c r="F9" s="44"/>
      <x:c r="G9" s="28"/>
      <x:c r="H9" s="53" t="n">
        <x:f>IFERROR(C9/B9,0)</x:f>
        <x:v>0</x:v>
      </x:c>
      <x:c r="I9" s="53" t="n">
        <x:f>IFERROR(D9/C9,0)</x:f>
        <x:v>0</x:v>
      </x:c>
      <x:c r="J9" s="53" t="n">
        <x:f>IFERROR(E9/D9,0)</x:f>
        <x:v>0</x:v>
      </x:c>
      <x:c r="K9" s="53" t="n">
        <x:f>IFERROR(F9/E9,0)</x:f>
        <x:v>0</x:v>
      </x:c>
      <x:c r="L9" s="54" t="n">
        <x:f>IFERROR(G9/B9,0)</x:f>
        <x:v>0</x:v>
      </x:c>
    </x:row>
    <x:row r="10" ht="15" hidden="0" customHeight="1">
      <x:c r="A10" s="52"/>
      <x:c r="B10" s="44"/>
      <x:c r="C10" s="44"/>
      <x:c r="D10" s="44"/>
      <x:c r="E10" s="44"/>
      <x:c r="F10" s="44"/>
      <x:c r="G10" s="28"/>
      <x:c r="H10" s="53" t="n">
        <x:f>IFERROR(C10/B10,0)</x:f>
        <x:v>0</x:v>
      </x:c>
      <x:c r="I10" s="53" t="n">
        <x:f>IFERROR(D10/C10,0)</x:f>
        <x:v>0</x:v>
      </x:c>
      <x:c r="J10" s="53" t="n">
        <x:f>IFERROR(E10/D10,0)</x:f>
        <x:v>0</x:v>
      </x:c>
      <x:c r="K10" s="53" t="n">
        <x:f>IFERROR(F10/E10,0)</x:f>
        <x:v>0</x:v>
      </x:c>
      <x:c r="L10" s="54" t="n">
        <x:f>IFERROR(G10/B10,0)</x:f>
        <x:v>0</x:v>
      </x:c>
    </x:row>
    <x:row r="11" ht="15" hidden="0" customHeight="1">
      <x:c r="A11" s="52"/>
      <x:c r="B11" s="44"/>
      <x:c r="C11" s="44"/>
      <x:c r="D11" s="44"/>
      <x:c r="E11" s="44"/>
      <x:c r="F11" s="44"/>
      <x:c r="G11" s="28"/>
      <x:c r="H11" s="53" t="n">
        <x:f>IFERROR(C11/B11,0)</x:f>
        <x:v>0</x:v>
      </x:c>
      <x:c r="I11" s="53" t="n">
        <x:f>IFERROR(D11/C11,0)</x:f>
        <x:v>0</x:v>
      </x:c>
      <x:c r="J11" s="53" t="n">
        <x:f>IFERROR(E11/D11,0)</x:f>
        <x:v>0</x:v>
      </x:c>
      <x:c r="K11" s="53" t="n">
        <x:f>IFERROR(F11/E11,0)</x:f>
        <x:v>0</x:v>
      </x:c>
      <x:c r="L11" s="54" t="n">
        <x:f>IFERROR(G11/B11,0)</x:f>
        <x:v>0</x:v>
      </x:c>
    </x:row>
    <x:row r="12" ht="15" hidden="0" customHeight="1">
      <x:c r="A12" s="52"/>
      <x:c r="B12" s="44"/>
      <x:c r="C12" s="44"/>
      <x:c r="D12" s="44"/>
      <x:c r="E12" s="44"/>
      <x:c r="F12" s="44"/>
      <x:c r="G12" s="28"/>
      <x:c r="H12" s="53" t="n">
        <x:f>IFERROR(C12/B12,0)</x:f>
        <x:v>0</x:v>
      </x:c>
      <x:c r="I12" s="53" t="n">
        <x:f>IFERROR(D12/C12,0)</x:f>
        <x:v>0</x:v>
      </x:c>
      <x:c r="J12" s="53" t="n">
        <x:f>IFERROR(E12/D12,0)</x:f>
        <x:v>0</x:v>
      </x:c>
      <x:c r="K12" s="53" t="n">
        <x:f>IFERROR(F12/E12,0)</x:f>
        <x:v>0</x:v>
      </x:c>
      <x:c r="L12" s="54" t="n">
        <x:f>IFERROR(G12/B12,0)</x:f>
        <x:v>0</x:v>
      </x:c>
    </x:row>
    <x:row r="13" ht="15" hidden="0" customHeight="1">
      <x:c r="A13" s="52"/>
      <x:c r="B13" s="44"/>
      <x:c r="C13" s="44"/>
      <x:c r="D13" s="44"/>
      <x:c r="E13" s="44"/>
      <x:c r="F13" s="44"/>
      <x:c r="G13" s="28"/>
      <x:c r="H13" s="53" t="n">
        <x:f>IFERROR(C13/B13,0)</x:f>
        <x:v>0</x:v>
      </x:c>
      <x:c r="I13" s="53" t="n">
        <x:f>IFERROR(D13/C13,0)</x:f>
        <x:v>0</x:v>
      </x:c>
      <x:c r="J13" s="53" t="n">
        <x:f>IFERROR(E13/D13,0)</x:f>
        <x:v>0</x:v>
      </x:c>
      <x:c r="K13" s="53" t="n">
        <x:f>IFERROR(F13/E13,0)</x:f>
        <x:v>0</x:v>
      </x:c>
      <x:c r="L13" s="54" t="n">
        <x:f>IFERROR(G13/B13,0)</x:f>
        <x:v>0</x:v>
      </x:c>
    </x:row>
    <x:row r="14" ht="15" hidden="0" customHeight="1">
      <x:c r="A14" s="52"/>
      <x:c r="B14" s="44"/>
      <x:c r="C14" s="44"/>
      <x:c r="D14" s="44"/>
      <x:c r="E14" s="44"/>
      <x:c r="F14" s="44"/>
      <x:c r="G14" s="28"/>
      <x:c r="H14" s="53" t="n">
        <x:f>IFERROR(C14/B14,0)</x:f>
        <x:v>0</x:v>
      </x:c>
      <x:c r="I14" s="53" t="n">
        <x:f>IFERROR(D14/C14,0)</x:f>
        <x:v>0</x:v>
      </x:c>
      <x:c r="J14" s="53" t="n">
        <x:f>IFERROR(E14/D14,0)</x:f>
        <x:v>0</x:v>
      </x:c>
      <x:c r="K14" s="53" t="n">
        <x:f>IFERROR(F14/E14,0)</x:f>
        <x:v>0</x:v>
      </x:c>
      <x:c r="L14" s="54" t="n">
        <x:f>IFERROR(G14/B14,0)</x:f>
        <x:v>0</x:v>
      </x:c>
    </x:row>
    <x:row r="15" ht="15" hidden="0" customHeight="1">
      <x:c r="A15" s="52"/>
      <x:c r="B15" s="44"/>
      <x:c r="C15" s="44"/>
      <x:c r="D15" s="44"/>
      <x:c r="E15" s="44"/>
      <x:c r="F15" s="44"/>
      <x:c r="G15" s="28"/>
      <x:c r="H15" s="53" t="n">
        <x:f>IFERROR(C15/B15,0)</x:f>
        <x:v>0</x:v>
      </x:c>
      <x:c r="I15" s="53" t="n">
        <x:f>IFERROR(D15/C15,0)</x:f>
        <x:v>0</x:v>
      </x:c>
      <x:c r="J15" s="53" t="n">
        <x:f>IFERROR(E15/D15,0)</x:f>
        <x:v>0</x:v>
      </x:c>
      <x:c r="K15" s="53" t="n">
        <x:f>IFERROR(F15/E15,0)</x:f>
        <x:v>0</x:v>
      </x:c>
      <x:c r="L15" s="54" t="n">
        <x:f>IFERROR(G15/B15,0)</x:f>
        <x:v>0</x:v>
      </x:c>
    </x:row>
    <x:row r="16" ht="15" hidden="0" customHeight="1">
      <x:c r="A16" s="52"/>
      <x:c r="B16" s="44"/>
      <x:c r="C16" s="44"/>
      <x:c r="D16" s="44"/>
      <x:c r="E16" s="44"/>
      <x:c r="F16" s="44"/>
      <x:c r="G16" s="28"/>
      <x:c r="H16" s="53" t="n">
        <x:f>IFERROR(C16/B16,0)</x:f>
        <x:v>0</x:v>
      </x:c>
      <x:c r="I16" s="53" t="n">
        <x:f>IFERROR(D16/C16,0)</x:f>
        <x:v>0</x:v>
      </x:c>
      <x:c r="J16" s="53" t="n">
        <x:f>IFERROR(E16/D16,0)</x:f>
        <x:v>0</x:v>
      </x:c>
      <x:c r="K16" s="53" t="n">
        <x:f>IFERROR(F16/E16,0)</x:f>
        <x:v>0</x:v>
      </x:c>
      <x:c r="L16" s="54" t="n">
        <x:f>IFERROR(G16/B16,0)</x:f>
        <x:v>0</x:v>
      </x:c>
    </x:row>
    <x:row r="17"/>
    <x:row r="18" ht="15" hidden="0" customHeight="1">
      <x:c r="A18" s="10" t="str">
        <x:v>WEEKLY REVIEW</x:v>
      </x:c>
      <x:c r="B18" s="10"/>
      <x:c r="C18" s="10"/>
      <x:c r="D18" s="10"/>
      <x:c r="E18" s="10"/>
      <x:c r="F18" s="10"/>
      <x:c r="G18" s="10"/>
      <x:c r="H18" s="10"/>
      <x:c r="I18" s="10"/>
      <x:c r="J18" s="10"/>
      <x:c r="K18" s="10"/>
      <x:c r="L18" s="10"/>
    </x:row>
    <x:row r="19" ht="15" hidden="0" customHeight="1">
      <x:c r="A19" s="56" t="str">
        <x:v>Where is the first material conversion drop? What evidence explains it? What single variable will you change next week? What will stay constant so the test teaches you something?</x:v>
      </x:c>
      <x:c r="B19" s="56"/>
      <x:c r="C19" s="56"/>
      <x:c r="D19" s="56"/>
      <x:c r="E19" s="56"/>
      <x:c r="F19" s="56"/>
      <x:c r="G19" s="56"/>
      <x:c r="H19" s="56"/>
      <x:c r="I19" s="56"/>
      <x:c r="J19" s="56"/>
      <x:c r="K19" s="56"/>
      <x:c r="L19" s="56"/>
    </x:row>
    <x:row r="20" ht="15" hidden="0" customHeight="1">
      <x:c r="A20" s="56"/>
      <x:c r="B20" s="56"/>
      <x:c r="C20" s="56"/>
      <x:c r="D20" s="56"/>
      <x:c r="E20" s="56"/>
      <x:c r="F20" s="56"/>
      <x:c r="G20" s="56"/>
      <x:c r="H20" s="56"/>
      <x:c r="I20" s="56"/>
      <x:c r="J20" s="56"/>
      <x:c r="K20" s="56"/>
      <x:c r="L20" s="56"/>
    </x:row>
    <x:row r="21" ht="15" hidden="0" customHeight="1">
      <x:c r="A21" s="56"/>
      <x:c r="B21" s="56"/>
      <x:c r="C21" s="56"/>
      <x:c r="D21" s="56"/>
      <x:c r="E21" s="56"/>
      <x:c r="F21" s="56"/>
      <x:c r="G21" s="56"/>
      <x:c r="H21" s="56"/>
      <x:c r="I21" s="56"/>
      <x:c r="J21" s="56"/>
      <x:c r="K21" s="56"/>
      <x:c r="L21" s="56"/>
    </x:row>
    <x:row r="22" ht="15" hidden="0" customHeight="1">
      <x:c r="A22" s="56"/>
      <x:c r="B22" s="56"/>
      <x:c r="C22" s="56"/>
      <x:c r="D22" s="56"/>
      <x:c r="E22" s="56"/>
      <x:c r="F22" s="56"/>
      <x:c r="G22" s="56"/>
      <x:c r="H22" s="56"/>
      <x:c r="I22" s="56"/>
      <x:c r="J22" s="56"/>
      <x:c r="K22" s="56"/>
      <x:c r="L22" s="56"/>
    </x:row>
  </x:sheetData>
  <x:mergeCells>
    <x:mergeCell ref="A1:L1"/>
    <x:mergeCell ref="A2:L2"/>
    <x:mergeCell ref="A18:L18"/>
    <x:mergeCell ref="A19:L19"/>
    <x:mergeCell ref="A20:L20"/>
    <x:mergeCell ref="A21:L21"/>
    <x:mergeCell ref="A22:L2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4" hidden="0" customHeight="1">
      <x:c r="A1" s="3" t="str">
        <x:v>Scenario Lab</x:v>
      </x:c>
      <x:c r="B1" s="3"/>
      <x:c r="C1" s="3"/>
      <x:c r="D1" s="3"/>
      <x:c r="E1" s="3"/>
      <x:c r="F1" s="3"/>
      <x:c r="G1" s="3"/>
      <x:c r="H1" s="3"/>
    </x:row>
    <x:row r="2" ht="15" hidden="0" customHeight="1">
      <x:c r="A2" s="7" t="str">
        <x:v>Change one lever at a time. Baseline links to Activity Model.</x:v>
      </x:c>
      <x:c r="B2" s="7"/>
      <x:c r="C2" s="7"/>
      <x:c r="D2" s="7"/>
      <x:c r="E2" s="7"/>
      <x:c r="F2" s="7"/>
      <x:c r="G2" s="7"/>
      <x:c r="H2" s="7"/>
    </x:row>
    <x:row r="3"/>
    <x:row r="4" ht="15" hidden="0" customHeight="1">
      <x:c r="A4" s="22" t="str">
        <x:v>Scenario</x:v>
      </x:c>
      <x:c r="B4" s="22" t="str">
        <x:v>Avg opp $</x:v>
      </x:c>
      <x:c r="C4" s="22" t="str">
        <x:v>Meet to opp</x:v>
      </x:c>
      <x:c r="D4" s="22" t="str">
        <x:v>Show rate</x:v>
      </x:c>
      <x:c r="E4" s="22" t="str">
        <x:v>Conv. to booked</x:v>
      </x:c>
      <x:c r="F4" s="22" t="str">
        <x:v>Connect / reply</x:v>
      </x:c>
      <x:c r="G4" s="22" t="str">
        <x:v>Weekly attempts</x:v>
      </x:c>
      <x:c r="H4" s="22" t="str">
        <x:v>Change vs baseline</x:v>
      </x:c>
    </x:row>
    <x:row r="5" ht="15" hidden="0" customHeight="1">
      <x:c r="A5" s="25" t="str">
        <x:v>Baseline</x:v>
      </x:c>
      <x:c r="B5" s="38" t="n">
        <x:f>'Activity Model'!B7</x:f>
        <x:v>15000</x:v>
      </x:c>
      <x:c r="C5" s="53" t="n">
        <x:f>'Activity Model'!B8</x:f>
        <x:v>0.55</x:v>
      </x:c>
      <x:c r="D5" s="53" t="n">
        <x:f>'Activity Model'!B9</x:f>
        <x:v>0.8</x:v>
      </x:c>
      <x:c r="E5" s="53" t="n">
        <x:f>'Activity Model'!B10</x:f>
        <x:v>0.35</x:v>
      </x:c>
      <x:c r="F5" s="53" t="n">
        <x:f>'Activity Model'!B11</x:f>
        <x:v>0.08</x:v>
      </x:c>
      <x:c r="G5" s="57" t="n">
        <x:f>ROUNDUP((('Activity Model'!B6/B5)/C5/D5/E5/F5)/'Activity Model'!B12,0)</x:f>
        <x:v>150</x:v>
      </x:c>
      <x:c r="H5" s="57" t="n">
        <x:f>G5-$G$5</x:f>
        <x:v>0</x:v>
      </x:c>
    </x:row>
    <x:row r="6" ht="15" hidden="0" customHeight="1">
      <x:c r="A6" s="25" t="str">
        <x:v>Better targeting</x:v>
      </x:c>
      <x:c r="B6" s="28" t="n">
        <x:v>15000</x:v>
      </x:c>
      <x:c r="C6" s="29" t="n">
        <x:v>0.55</x:v>
      </x:c>
      <x:c r="D6" s="29" t="n">
        <x:v>0.8</x:v>
      </x:c>
      <x:c r="E6" s="29" t="n">
        <x:v>0.35</x:v>
      </x:c>
      <x:c r="F6" s="29" t="n">
        <x:v>0.11</x:v>
      </x:c>
      <x:c r="G6" s="57" t="n">
        <x:f>ROUNDUP((('Activity Model'!B6/B6)/C6/D6/E6/F6)/'Activity Model'!B12,0)</x:f>
        <x:v>110</x:v>
      </x:c>
      <x:c r="H6" s="57" t="n">
        <x:f>G6-$G$5</x:f>
        <x:v>-40</x:v>
      </x:c>
    </x:row>
    <x:row r="7" ht="15" hidden="0" customHeight="1">
      <x:c r="A7" s="25" t="str">
        <x:v>Better conversations</x:v>
      </x:c>
      <x:c r="B7" s="28" t="n">
        <x:v>15000</x:v>
      </x:c>
      <x:c r="C7" s="29" t="n">
        <x:v>0.55</x:v>
      </x:c>
      <x:c r="D7" s="29" t="n">
        <x:v>0.8</x:v>
      </x:c>
      <x:c r="E7" s="29" t="n">
        <x:v>0.45</x:v>
      </x:c>
      <x:c r="F7" s="29" t="n">
        <x:v>0.08</x:v>
      </x:c>
      <x:c r="G7" s="57" t="n">
        <x:f>ROUNDUP((('Activity Model'!B6/B7)/C7/D7/E7/F7)/'Activity Model'!B12,0)</x:f>
        <x:v>117</x:v>
      </x:c>
      <x:c r="H7" s="57" t="n">
        <x:f>G7-$G$5</x:f>
        <x:v>-33</x:v>
      </x:c>
    </x:row>
    <x:row r="8" ht="15" hidden="0" customHeight="1">
      <x:c r="A8" s="25" t="str">
        <x:v>Higher-value segment</x:v>
      </x:c>
      <x:c r="B8" s="28" t="n">
        <x:v>22000</x:v>
      </x:c>
      <x:c r="C8" s="29" t="n">
        <x:v>0.55</x:v>
      </x:c>
      <x:c r="D8" s="29" t="n">
        <x:v>0.8</x:v>
      </x:c>
      <x:c r="E8" s="29" t="n">
        <x:v>0.35</x:v>
      </x:c>
      <x:c r="F8" s="29" t="n">
        <x:v>0.08</x:v>
      </x:c>
      <x:c r="G8" s="57" t="n">
        <x:f>ROUNDUP((('Activity Model'!B6/B8)/C8/D8/E8/F8)/'Activity Model'!B12,0)</x:f>
        <x:v>103</x:v>
      </x:c>
      <x:c r="H8" s="57" t="n">
        <x:f>G8-$G$5</x:f>
        <x:v>-47</x:v>
      </x:c>
    </x:row>
  </x:sheetData>
  <x:mergeCells>
    <x:mergeCell ref="A1:H1"/>
    <x:mergeCell ref="A2:H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56" hidden="0" customWidth="1"/>
    <x:col min="2" max="2" width="18" hidden="0" customWidth="1"/>
    <x:col min="3" max="3" width="45" hidden="0" customWidth="1"/>
  </x:cols>
  <x:sheetData>
    <x:row r="1" ht="24" hidden="0" customHeight="1">
      <x:c r="A1" s="3" t="str">
        <x:v>Pipeline Math Readiness Check</x:v>
      </x:c>
      <x:c r="B1" s="3"/>
      <x:c r="C1" s="3"/>
      <x:c r="D1" s="3"/>
      <x:c r="E1" s="3"/>
      <x:c r="F1" s="3"/>
      <x:c r="G1" s="3"/>
      <x:c r="H1" s="3"/>
    </x:row>
    <x:row r="2" ht="15" hidden="0" customHeight="1">
      <x:c r="A2" s="7" t="str">
        <x:v>Demonstrate understanding before trusting or screen-sharing the output.</x:v>
      </x:c>
      <x:c r="B2" s="7"/>
      <x:c r="C2" s="7"/>
      <x:c r="D2" s="7"/>
      <x:c r="E2" s="7"/>
      <x:c r="F2" s="7"/>
      <x:c r="G2" s="7"/>
      <x:c r="H2" s="7"/>
    </x:row>
    <x:row r="3"/>
    <x:row r="4" ht="15" hidden="0" customHeight="1">
      <x:c r="A4" s="22" t="str">
        <x:v>Statement</x:v>
      </x:c>
      <x:c r="B4" s="22" t="str">
        <x:v>Self-score (0-3)</x:v>
      </x:c>
      <x:c r="C4" s="22" t="str">
        <x:v>Evidence</x:v>
      </x:c>
    </x:row>
    <x:row r="5" ht="15" hidden="0" customHeight="1">
      <x:c r="A5" s="25" t="str">
        <x:v>I can explain each conversion in the funnel.</x:v>
      </x:c>
      <x:c r="B5" s="27" t="n">
        <x:v>0</x:v>
      </x:c>
      <x:c r="C5" s="25"/>
    </x:row>
    <x:row r="6" ht="15" hidden="0" customHeight="1">
      <x:c r="A6" s="25" t="str">
        <x:v>I use rates from a named segment, period, and sample.</x:v>
      </x:c>
      <x:c r="B6" s="27" t="n">
        <x:v>0</x:v>
      </x:c>
      <x:c r="C6" s="25"/>
    </x:row>
    <x:row r="7" ht="15" hidden="0" customHeight="1">
      <x:c r="A7" s="25" t="str">
        <x:v>I can distinguish raw from qualified pipeline.</x:v>
      </x:c>
      <x:c r="B7" s="27" t="n">
        <x:v>0</x:v>
      </x:c>
      <x:c r="C7" s="25"/>
    </x:row>
    <x:row r="8" ht="15" hidden="0" customHeight="1">
      <x:c r="A8" s="25" t="str">
        <x:v>I can work backward from quota to required coverage.</x:v>
      </x:c>
      <x:c r="B8" s="27" t="n">
        <x:v>0</x:v>
      </x:c>
      <x:c r="C8" s="25"/>
    </x:row>
    <x:row r="9" ht="15" hidden="0" customHeight="1">
      <x:c r="A9" s="25" t="str">
        <x:v>I know which conversion is currently weakest.</x:v>
      </x:c>
      <x:c r="B9" s="27" t="n">
        <x:v>0</x:v>
      </x:c>
      <x:c r="C9" s="25"/>
    </x:row>
    <x:row r="10" ht="15" hidden="0" customHeight="1">
      <x:c r="A10" s="25" t="str">
        <x:v>I can propose one test without changing everything else.</x:v>
      </x:c>
      <x:c r="B10" s="27" t="n">
        <x:v>0</x:v>
      </x:c>
      <x:c r="C10" s="25"/>
    </x:row>
    <x:row r="11" ht="15" hidden="0" customHeight="1">
      <x:c r="A11" s="25" t="str">
        <x:v>I use buyer-approved inputs for cost of inaction.</x:v>
      </x:c>
      <x:c r="B11" s="27" t="n">
        <x:v>0</x:v>
      </x:c>
      <x:c r="C11" s="25"/>
    </x:row>
    <x:row r="12" ht="15" hidden="0" customHeight="1">
      <x:c r="A12" s="25" t="str">
        <x:v>I will not count unqualified meetings or inflated pipeline.</x:v>
      </x:c>
      <x:c r="B12" s="27" t="n">
        <x:v>0</x:v>
      </x:c>
      <x:c r="C12" s="25"/>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62" hidden="0" customWidth="1"/>
    <x:col min="3" max="3" width="74" hidden="0" customWidth="1"/>
  </x:cols>
  <x:sheetData>
    <x:row r="1" ht="24" hidden="0" customHeight="1">
      <x:c r="A1" s="3" t="str">
        <x:v>Sources &amp; Notes</x:v>
      </x:c>
      <x:c r="B1" s="3"/>
      <x:c r="C1" s="3"/>
      <x:c r="D1" s="3"/>
      <x:c r="E1" s="3"/>
      <x:c r="F1" s="3"/>
      <x:c r="G1" s="3"/>
      <x:c r="H1" s="3"/>
    </x:row>
    <x:row r="2" ht="15" hidden="0" customHeight="1">
      <x:c r="A2" s="7" t="str">
        <x:v>External sources validate the practices. VSA owns the model architecture, prompts, and instructional packaging.</x:v>
      </x:c>
      <x:c r="B2" s="7"/>
      <x:c r="C2" s="7"/>
      <x:c r="D2" s="7"/>
      <x:c r="E2" s="7"/>
      <x:c r="F2" s="7"/>
      <x:c r="G2" s="7"/>
      <x:c r="H2" s="7"/>
    </x:row>
    <x:row r="3"/>
    <x:row r="4" ht="15" hidden="0" customHeight="1">
      <x:c r="A4" s="22" t="str">
        <x:v>Source</x:v>
      </x:c>
      <x:c r="B4" s="22" t="str">
        <x:v>Validation used</x:v>
      </x:c>
      <x:c r="C4" s="22" t="str">
        <x:v>URL</x:v>
      </x:c>
    </x:row>
    <x:row r="5" ht="26.399999618530273" hidden="0" customHeight="1">
      <x:c r="A5" s="25" t="str">
        <x:v>Clari</x:v>
      </x:c>
      <x:c r="B5" s="25" t="str">
        <x:v>Coverage is qualified pipeline ÷ target; the required multiple must be calibrated to actual win rate and segment.</x:v>
      </x:c>
      <x:c r="C5" s="25" t="str">
        <x:v>https://www.clari.com/blog/time-to-retire-that-3x-coverage-1/</x:v>
      </x:c>
    </x:row>
    <x:row r="6" ht="15" hidden="0" customHeight="1">
      <x:c r="A6" s="25" t="str">
        <x:v>Clari</x:v>
      </x:c>
      <x:c r="B6" s="25" t="str">
        <x:v>Pipeline coverage depends on sector, cycle, deal size, and conversion rates.</x:v>
      </x:c>
      <x:c r="C6" s="25" t="str">
        <x:v>https://www.clari.com/blog/sales-pipeline-risk/</x:v>
      </x:c>
    </x:row>
    <x:row r="7" ht="15" hidden="0" customHeight="1">
      <x:c r="A7" s="25" t="str">
        <x:v>Salesloft</x:v>
      </x:c>
      <x:c r="B7" s="25" t="str">
        <x:v>Track connect/reply, meetings, and pipeline to diagnose upstream execution.</x:v>
      </x:c>
      <x:c r="C7" s="25" t="str">
        <x:v>https://www.salesloft.com/resources/blog/sales-prospecting</x:v>
      </x:c>
    </x:row>
    <x:row r="8" ht="15" hidden="0" customHeight="1">
      <x:c r="A8" s="25" t="str">
        <x:v>HubSpot</x:v>
      </x:c>
      <x:c r="B8" s="25" t="str">
        <x:v>CRM and pipeline data support stage, value, activity, and next-step visibility.</x:v>
      </x:c>
      <x:c r="C8" s="25" t="str">
        <x:v>https://blog.hubspot.com/sales/sales-pipeline</x:v>
      </x:c>
    </x:row>
    <x:row r="9" ht="15" hidden="0" customHeight="1">
      <x:c r="A9" s="25" t="str">
        <x:v>Pipedrive</x:v>
      </x:c>
      <x:c r="B9" s="25" t="str">
        <x:v>Stage conversion and drop-off data help locate pipeline bottlenecks.</x:v>
      </x:c>
      <x:c r="C9" s="25" t="str">
        <x:v>https://www.pipedrive.com/en/blog/sales-data</x:v>
      </x:c>
    </x:row>
    <x:row r="10" ht="26.399999618530273" hidden="0" customHeight="1">
      <x:c r="A10" s="25" t="str">
        <x:v>VSA-original</x:v>
      </x:c>
      <x:c r="B10" s="25" t="str">
        <x:v>Coverage calculator, cost-of-inaction model, activity model, readiness checks, scenario lab, and buyer guardrails.</x:v>
      </x:c>
      <x:c r="C10" s="25" t="str">
        <x:v>Created for the VSA First 90 Days Sales OS</x:v>
      </x:c>
    </x:row>
  </x:sheetData>
  <x:mergeCells>
    <x:mergeCell ref="A1:H1"/>
    <x:mergeCell ref="A2:H2"/>
  </x:mergeCells>
  <x:pageMargins left="0.7" right="0.7" top="0.75" bottom="0.75" header="0.3" footer="0.3"/>
</x:worksheet>
</file>